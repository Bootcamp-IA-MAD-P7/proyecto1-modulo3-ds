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Personal\proyecto1-modulo3-ds\autoevaluacion\"/>
    </mc:Choice>
  </mc:AlternateContent>
  <xr:revisionPtr revIDLastSave="0" documentId="13_ncr:1_{9F1E5A2D-9621-4E9E-B590-A9E007C70648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Auto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62" i="1" l="1"/>
  <c r="E61" i="1"/>
  <c r="E60" i="1"/>
  <c r="E59" i="1"/>
  <c r="E58" i="1"/>
  <c r="E57" i="1"/>
  <c r="E56" i="1"/>
  <c r="E55" i="1"/>
  <c r="E54" i="1"/>
  <c r="E52" i="1"/>
  <c r="E51" i="1"/>
  <c r="E50" i="1"/>
  <c r="E49" i="1"/>
  <c r="E48" i="1"/>
  <c r="E47" i="1"/>
  <c r="E46" i="1"/>
  <c r="E45" i="1"/>
  <c r="E43" i="1"/>
  <c r="E42" i="1"/>
  <c r="E41" i="1"/>
  <c r="E40" i="1"/>
  <c r="E39" i="1"/>
  <c r="E38" i="1"/>
  <c r="E37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6" i="1"/>
  <c r="E15" i="1"/>
  <c r="E14" i="1"/>
  <c r="E13" i="1"/>
  <c r="F7" i="1"/>
  <c r="E7" i="1"/>
  <c r="E53" i="1" l="1"/>
  <c r="E44" i="1"/>
  <c r="E36" i="1"/>
  <c r="E26" i="1"/>
  <c r="E17" i="1"/>
  <c r="E12" i="1"/>
  <c r="B7" i="1" l="1"/>
  <c r="E63" i="1" s="1"/>
</calcChain>
</file>

<file path=xl/sharedStrings.xml><?xml version="1.0" encoding="utf-8"?>
<sst xmlns="http://schemas.openxmlformats.org/spreadsheetml/2006/main" count="143" uniqueCount="91">
  <si>
    <t>Rúbrica de autoevaluación</t>
  </si>
  <si>
    <t>Data Scientist - Ciencia de datos</t>
  </si>
  <si>
    <t>Alumno/a</t>
  </si>
  <si>
    <t>Fecha</t>
  </si>
  <si>
    <t>Proyecto</t>
  </si>
  <si>
    <t>NOTA FINAL</t>
  </si>
  <si>
    <t>de 100 puntos</t>
  </si>
  <si>
    <t>COMPLETADO</t>
  </si>
  <si>
    <t>Cómo usarla</t>
  </si>
  <si>
    <t>En la columna Marca, selecciona ☑ Sí cuando el proyecto cumpla el indicador. La nota se actualiza automáticamente.</t>
  </si>
  <si>
    <t>INDICADORES DE EVALUACIÓN</t>
  </si>
  <si>
    <t>Cada check reparte por igual el peso de su competencia, salvo cuando la fuente define un valor específico.</t>
  </si>
  <si>
    <t>Nº</t>
  </si>
  <si>
    <t>Competencia / indicador evaluable</t>
  </si>
  <si>
    <t>Peso</t>
  </si>
  <si>
    <t>Marca</t>
  </si>
  <si>
    <t>Puntos</t>
  </si>
  <si>
    <t>Evidencias o comentario</t>
  </si>
  <si>
    <t>C1</t>
  </si>
  <si>
    <t>Comunicar efectivamente el desarrollo de un proyecto de forma clara y estructurada</t>
  </si>
  <si>
    <t>4 checks</t>
  </si>
  <si>
    <t>Puntuación de la competencia</t>
  </si>
  <si>
    <t>Uso de estructura ordenada</t>
  </si>
  <si>
    <t>☐ No</t>
  </si>
  <si>
    <t>Uso de contenido visual / demo</t>
  </si>
  <si>
    <t>Uso de estructura pragmática y concreta</t>
  </si>
  <si>
    <t>Uso de storytelling</t>
  </si>
  <si>
    <t>C2</t>
  </si>
  <si>
    <t>Gestionar eficientemente proyectos de desarrollo con herramientas de control de versiones</t>
  </si>
  <si>
    <t>8 checks</t>
  </si>
  <si>
    <t>Uso de GitHub, GitLab o Bitbucket</t>
  </si>
  <si>
    <t>Conectar el repositorio local al remoto</t>
  </si>
  <si>
    <t>Uso de commits descriptivos</t>
  </si>
  <si>
    <t>Uso de metodología Gitflow</t>
  </si>
  <si>
    <t>Uso apropiado de ramas</t>
  </si>
  <si>
    <t>Uso de nomenclatura en commits</t>
  </si>
  <si>
    <t>Uso de issues en GitHub</t>
  </si>
  <si>
    <t>Uso de nomenclatura en ramas</t>
  </si>
  <si>
    <t>C3</t>
  </si>
  <si>
    <t>Gestionar equipos de forma eficiente</t>
  </si>
  <si>
    <t>9 checks</t>
  </si>
  <si>
    <t>Uso de Kanban / burndown chart</t>
  </si>
  <si>
    <t>Uso de roles definidos</t>
  </si>
  <si>
    <t>Uso de actas de reuniones</t>
  </si>
  <si>
    <t>Uso de dailies</t>
  </si>
  <si>
    <t>Uso de retrospectivas</t>
  </si>
  <si>
    <t>Uso de herramientas de gestión de proyectos (Trello, Jira, etc.)</t>
  </si>
  <si>
    <t>Uso de estimación de tareas</t>
  </si>
  <si>
    <t>Prioriza al equipo</t>
  </si>
  <si>
    <t>Uso de documentación (README) o celdas Markdown en notebook</t>
  </si>
  <si>
    <t>C4</t>
  </si>
  <si>
    <t>Evaluar conjuntos de datos utilizando herramientas de análisis y visualización de datos</t>
  </si>
  <si>
    <t>7 checks</t>
  </si>
  <si>
    <t>Uso y gestión de formato CSV</t>
  </si>
  <si>
    <t>Limpieza y preprocesado de datos</t>
  </si>
  <si>
    <t>Uso de librerías para desarrollar paneles de visualización (Dash, Streamlit, Gradio)</t>
  </si>
  <si>
    <t>Uso de técnicas de preprocesado (normalización, escalado, label encoder, one-hot encoder)</t>
  </si>
  <si>
    <t>Uso de técnicas avanzadas de limpieza (valores atípicos e imputación de valores faltantes)</t>
  </si>
  <si>
    <t>Visualización de datos (Seaborn, Matplotlib, Plotly)</t>
  </si>
  <si>
    <t>Análisis exploratorio detallado (EDA)</t>
  </si>
  <si>
    <t>C5</t>
  </si>
  <si>
    <t>Aplicar algoritmos de aprendizaje automático según el problema</t>
  </si>
  <si>
    <t>Seleccionar las variables útiles y descartar las que no lo son</t>
  </si>
  <si>
    <t>Reconocer si es un problema de regresión o clasificación</t>
  </si>
  <si>
    <t>Separación de datos en train/test</t>
  </si>
  <si>
    <t>Entrenar un modelo simple de ML (SVM, regresión, árbol de decisión, Naive Bayes)</t>
  </si>
  <si>
    <t>Uso de modelos ensemble (Random Forest, Gradient Boosting, AdaBoost, XGBoost, LightGBM)</t>
  </si>
  <si>
    <t>Uso de visualizaciones avanzadas (heatmaps, pairplots y visualizaciones 3D)</t>
  </si>
  <si>
    <t>Aplicar modelos de clustering</t>
  </si>
  <si>
    <t>Reconocer un caso de aprendizaje no supervisado</t>
  </si>
  <si>
    <t>C6</t>
  </si>
  <si>
    <t>Modificar parámetros y componentes de la inteligencia artificial para mejorar su rendimiento</t>
  </si>
  <si>
    <t>Optimización de hiperparámetros</t>
  </si>
  <si>
    <t>Aplicar técnicas de regularización</t>
  </si>
  <si>
    <t>Conocer las métricas de evaluación típicas de cada problema (MSE, recall, F1, etc.)</t>
  </si>
  <si>
    <t>Uso de modelos de redes neuronales</t>
  </si>
  <si>
    <t>Visualización de resultados y métricas</t>
  </si>
  <si>
    <t>Data augmentation</t>
  </si>
  <si>
    <t>Tratamiento de datos desbalanceados</t>
  </si>
  <si>
    <t>Seleccionar el modelo adecuado</t>
  </si>
  <si>
    <t>TOTAL</t>
  </si>
  <si>
    <t>Puntuación final</t>
  </si>
  <si>
    <t>Máximo</t>
  </si>
  <si>
    <t>100 puntos</t>
  </si>
  <si>
    <t>COMENTARIO FINAL</t>
  </si>
  <si>
    <t>¿Qué te ha parecido el proyecto? ¿En qué sobresale y qué se podría mejorar?</t>
  </si>
  <si>
    <t>Fuente</t>
  </si>
  <si>
    <t>https://drive.google.com/file/d/1jegR4anr5rPOcCEg0rGsUTw_mkyopZTZ/view</t>
  </si>
  <si>
    <t>Naimireth Castrillo</t>
  </si>
  <si>
    <t>☑ Sí</t>
  </si>
  <si>
    <t>Me ha parecido un proyecto bastante interesante y lo he disfrutado mucho, porque abarca todo el ciclo de Ciencia de Datos, no solo el entrenamiento del modelo. Creo que sobresale en el tratamiento del desbalance y en darle importancia al Recall de la clase ictus, en lugar de fijarnos únicamente en la accuracy. Además, conseguí integrar el modelo con una API, un frontend y un despliegue lo cual fue un reto. Como mejora, a nivel de ML contninuaria con la red neuronal, profundizaría principalmente en la optimización del modelo y en su capacidad de generalización y mejoraría la interpretabilidad,  a nivel de expericencia de usuario quedan muchas validaciones por terminar para poder ser utilizado de forma eficiente.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</si>
</sst>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1F2937"/>
      <name val="Arial"/>
    </font>
    <font>
      <b/>
      <sz val="16"/>
      <color rgb="FF17324D"/>
      <name val="Arial"/>
    </font>
    <font>
      <b/>
      <sz val="11"/>
      <color rgb="FFE65327"/>
      <name val="Arial"/>
    </font>
    <font>
      <b/>
      <sz val="10"/>
      <color rgb="FF17324D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4"/>
      <color rgb="FF17324D"/>
      <name val="Arial"/>
    </font>
    <font>
      <i/>
      <sz val="9"/>
      <color rgb="FF1F2937"/>
      <name val="Arial"/>
    </font>
    <font>
      <b/>
      <i/>
      <sz val="9"/>
      <color rgb="FFE65327"/>
      <name val="Arial"/>
    </font>
    <font>
      <b/>
      <sz val="9"/>
      <color rgb="FF667085"/>
      <name val="Arial"/>
    </font>
    <font>
      <b/>
      <i/>
      <sz val="9"/>
      <color rgb="FF667085"/>
      <name val="Arial"/>
    </font>
    <font>
      <b/>
      <sz val="10"/>
      <color rgb="FF1F2937"/>
      <name val="Arial"/>
    </font>
    <font>
      <b/>
      <sz val="11"/>
      <color rgb="FFFFFFFF"/>
      <name val="Arial"/>
    </font>
    <font>
      <i/>
      <sz val="8"/>
      <color rgb="FF667085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E65327"/>
      </patternFill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DDEBF7"/>
      </patternFill>
    </fill>
    <fill>
      <patternFill patternType="solid">
        <fgColor rgb="FFFCE9E3"/>
      </patternFill>
    </fill>
  </fills>
  <borders count="19">
    <border>
      <left/>
      <right/>
      <top/>
      <bottom/>
      <diagonal/>
    </border>
    <border>
      <left style="thin">
        <color rgb="FFD8E0E8"/>
      </left>
      <right/>
      <top style="thin">
        <color rgb="FFD8E0E8"/>
      </top>
      <bottom style="thin">
        <color rgb="FFD8E0E8"/>
      </bottom>
      <diagonal/>
    </border>
    <border>
      <left/>
      <right/>
      <top style="thin">
        <color rgb="FFD8E0E8"/>
      </top>
      <bottom style="thin">
        <color rgb="FFD8E0E8"/>
      </bottom>
      <diagonal/>
    </border>
    <border>
      <left/>
      <right style="thin">
        <color rgb="FFD8E0E8"/>
      </right>
      <top style="thin">
        <color rgb="FFD8E0E8"/>
      </top>
      <bottom style="thin">
        <color rgb="FFD8E0E8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E65327"/>
      </left>
      <right style="thin">
        <color rgb="FFE65327"/>
      </right>
      <top style="thin">
        <color rgb="FFE65327"/>
      </top>
      <bottom style="thin">
        <color rgb="FFE65327"/>
      </bottom>
      <diagonal/>
    </border>
    <border>
      <left style="thin">
        <color rgb="FFE65327"/>
      </left>
      <right/>
      <top style="thin">
        <color rgb="FFE65327"/>
      </top>
      <bottom style="thin">
        <color rgb="FFE65327"/>
      </bottom>
      <diagonal/>
    </border>
    <border>
      <left/>
      <right/>
      <top style="thin">
        <color rgb="FFE65327"/>
      </top>
      <bottom style="thin">
        <color rgb="FFE65327"/>
      </bottom>
      <diagonal/>
    </border>
    <border>
      <left/>
      <right style="thin">
        <color rgb="FFE65327"/>
      </right>
      <top style="thin">
        <color rgb="FFE65327"/>
      </top>
      <bottom style="thin">
        <color rgb="FFE65327"/>
      </bottom>
      <diagonal/>
    </border>
    <border>
      <left/>
      <right style="thin">
        <color rgb="FFFFFFFF"/>
      </right>
      <top/>
      <bottom style="medium">
        <color rgb="FF17324D"/>
      </bottom>
      <diagonal/>
    </border>
    <border>
      <left style="thin">
        <color rgb="FFFFFFFF"/>
      </left>
      <right style="thin">
        <color rgb="FFFFFFFF"/>
      </right>
      <top/>
      <bottom style="medium">
        <color rgb="FF17324D"/>
      </bottom>
      <diagonal/>
    </border>
    <border>
      <left style="thin">
        <color rgb="FFFFFFFF"/>
      </left>
      <right/>
      <top/>
      <bottom style="medium">
        <color rgb="FF17324D"/>
      </bottom>
      <diagonal/>
    </border>
    <border>
      <left/>
      <right/>
      <top style="medium">
        <color rgb="FF17324D"/>
      </top>
      <bottom style="thin">
        <color rgb="FFFFFFFF"/>
      </bottom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2F75B5"/>
      </left>
      <right/>
      <top style="thin">
        <color rgb="FF2F75B5"/>
      </top>
      <bottom style="thin">
        <color rgb="FF2F75B5"/>
      </bottom>
      <diagonal/>
    </border>
    <border>
      <left/>
      <right/>
      <top style="thin">
        <color rgb="FF2F75B5"/>
      </top>
      <bottom style="thin">
        <color rgb="FF2F75B5"/>
      </bottom>
      <diagonal/>
    </border>
    <border>
      <left/>
      <right style="thin">
        <color rgb="FF2F75B5"/>
      </right>
      <top style="thin">
        <color rgb="FF2F75B5"/>
      </top>
      <bottom style="thin">
        <color rgb="FF2F75B5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4" fillId="3" borderId="3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5" fillId="6" borderId="0" xfId="0" applyNumberFormat="1" applyFont="1" applyFill="1" applyBorder="1" applyAlignment="1">
      <alignment horizontal="center" vertical="center"/>
    </xf>
    <xf numFmtId="9" fontId="7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8" fillId="8" borderId="7" xfId="0" applyNumberFormat="1" applyFont="1" applyFill="1" applyBorder="1" applyAlignment="1">
      <alignment vertical="center"/>
    </xf>
    <xf numFmtId="0" fontId="8" fillId="8" borderId="8" xfId="0" applyNumberFormat="1" applyFont="1" applyFill="1" applyBorder="1" applyAlignment="1">
      <alignment vertical="center"/>
    </xf>
    <xf numFmtId="0" fontId="9" fillId="8" borderId="6" xfId="0" applyNumberFormat="1" applyFont="1" applyFill="1" applyBorder="1" applyAlignment="1">
      <alignment vertical="center"/>
    </xf>
    <xf numFmtId="0" fontId="8" fillId="8" borderId="7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center" vertical="center" wrapText="1"/>
    </xf>
    <xf numFmtId="0" fontId="5" fillId="5" borderId="10" xfId="0" applyNumberFormat="1" applyFont="1" applyFill="1" applyBorder="1" applyAlignment="1">
      <alignment horizontal="center" vertical="center" wrapText="1"/>
    </xf>
    <xf numFmtId="0" fontId="5" fillId="5" borderId="1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5" fillId="6" borderId="12" xfId="0" applyNumberFormat="1" applyFont="1" applyFill="1" applyBorder="1" applyAlignment="1">
      <alignment horizontal="center" vertical="center"/>
    </xf>
    <xf numFmtId="0" fontId="5" fillId="6" borderId="12" xfId="0" applyNumberFormat="1" applyFont="1" applyFill="1" applyBorder="1" applyAlignment="1">
      <alignment vertical="center" wrapText="1"/>
    </xf>
    <xf numFmtId="10" fontId="5" fillId="6" borderId="12" xfId="0" applyNumberFormat="1" applyFont="1" applyFill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vertical="center" wrapText="1"/>
    </xf>
    <xf numFmtId="0" fontId="13" fillId="5" borderId="13" xfId="0" applyNumberFormat="1" applyFont="1" applyFill="1" applyBorder="1" applyAlignment="1">
      <alignment vertical="center"/>
    </xf>
    <xf numFmtId="0" fontId="13" fillId="5" borderId="14" xfId="0" applyNumberFormat="1" applyFont="1" applyFill="1" applyBorder="1" applyAlignment="1">
      <alignment vertical="center"/>
    </xf>
    <xf numFmtId="0" fontId="13" fillId="5" borderId="15" xfId="0" applyNumberFormat="1" applyFont="1" applyFill="1" applyBorder="1" applyAlignment="1">
      <alignment vertical="center"/>
    </xf>
    <xf numFmtId="9" fontId="13" fillId="5" borderId="14" xfId="0" applyNumberFormat="1" applyFont="1" applyFill="1" applyBorder="1" applyAlignment="1">
      <alignment vertical="center"/>
    </xf>
    <xf numFmtId="2" fontId="13" fillId="5" borderId="14" xfId="0" applyNumberFormat="1" applyFont="1" applyFill="1" applyBorder="1" applyAlignment="1">
      <alignment vertical="center"/>
    </xf>
    <xf numFmtId="0" fontId="4" fillId="7" borderId="16" xfId="0" applyNumberFormat="1" applyFont="1" applyFill="1" applyBorder="1" applyAlignment="1">
      <alignment vertical="center" wrapText="1"/>
    </xf>
    <xf numFmtId="0" fontId="4" fillId="7" borderId="17" xfId="0" applyNumberFormat="1" applyFont="1" applyFill="1" applyBorder="1" applyAlignment="1">
      <alignment vertical="center" wrapText="1"/>
    </xf>
    <xf numFmtId="0" fontId="4" fillId="7" borderId="18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top" wrapText="1"/>
    </xf>
    <xf numFmtId="0" fontId="14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14" fontId="1" fillId="2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1E6B43"/>
      </font>
      <fill>
        <patternFill patternType="solid">
          <bgColor rgb="FFE7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5327"/>
  </sheetPr>
  <dimension ref="A1:F69"/>
  <sheetViews>
    <sheetView showGridLines="0" tabSelected="1" topLeftCell="A25" workbookViewId="0">
      <selection activeCell="D34" sqref="D34"/>
    </sheetView>
  </sheetViews>
  <sheetFormatPr baseColWidth="10" defaultColWidth="8.796875" defaultRowHeight="13.8"/>
  <cols>
    <col min="1" max="1" width="11" customWidth="1"/>
    <col min="2" max="2" width="66" customWidth="1"/>
    <col min="3" max="3" width="17" customWidth="1"/>
    <col min="4" max="4" width="16" customWidth="1"/>
    <col min="5" max="5" width="15" customWidth="1"/>
    <col min="6" max="6" width="48" customWidth="1"/>
  </cols>
  <sheetData>
    <row r="1" spans="1:6" ht="9" customHeight="1">
      <c r="A1" s="1"/>
      <c r="B1" s="1"/>
      <c r="C1" s="1"/>
      <c r="D1" s="1"/>
      <c r="E1" s="1"/>
      <c r="F1" s="1"/>
    </row>
    <row r="2" spans="1:6" ht="28.05" customHeight="1">
      <c r="A2" s="2" t="s">
        <v>0</v>
      </c>
      <c r="B2" s="2"/>
      <c r="C2" s="2"/>
      <c r="D2" s="2"/>
      <c r="E2" s="2"/>
      <c r="F2" s="2"/>
    </row>
    <row r="3" spans="1:6" ht="21" customHeight="1">
      <c r="A3" s="3" t="s">
        <v>1</v>
      </c>
      <c r="B3" s="3"/>
      <c r="C3" s="3"/>
      <c r="D3" s="3"/>
      <c r="E3" s="3"/>
      <c r="F3" s="3"/>
    </row>
    <row r="4" spans="1:6" ht="27" customHeight="1">
      <c r="A4" s="4" t="s">
        <v>2</v>
      </c>
      <c r="B4" s="6" t="s">
        <v>88</v>
      </c>
      <c r="C4" s="5" t="s">
        <v>3</v>
      </c>
      <c r="D4" s="44">
        <v>46275</v>
      </c>
      <c r="E4" s="5" t="s">
        <v>4</v>
      </c>
      <c r="F4" s="7" t="s">
        <v>1</v>
      </c>
    </row>
    <row r="5" spans="1:6" ht="4.05" customHeight="1">
      <c r="A5" s="8"/>
      <c r="B5" s="8"/>
      <c r="C5" s="8"/>
      <c r="D5" s="8"/>
      <c r="E5" s="8"/>
      <c r="F5" s="8"/>
    </row>
    <row r="6" spans="1:6">
      <c r="A6" s="1"/>
      <c r="B6" s="1"/>
      <c r="C6" s="1"/>
      <c r="D6" s="1"/>
      <c r="E6" s="1"/>
      <c r="F6" s="1"/>
    </row>
    <row r="7" spans="1:6" ht="37.950000000000003" customHeight="1">
      <c r="A7" s="9" t="s">
        <v>5</v>
      </c>
      <c r="B7" s="10">
        <f>ROUND(SUM(E12,E17,E26,E36,E44,E53),2)</f>
        <v>80.260000000000005</v>
      </c>
      <c r="C7" s="9" t="s">
        <v>6</v>
      </c>
      <c r="D7" s="11" t="s">
        <v>7</v>
      </c>
      <c r="E7" s="12">
        <f>COUNTIFS(D12:D62,"☑ Sí")/45</f>
        <v>0.82222222222222219</v>
      </c>
      <c r="F7" s="13" t="str">
        <f>COUNTIFS(D12:D62,"☑ Sí")&amp;" / 45 checks"</f>
        <v>37 / 45 checks</v>
      </c>
    </row>
    <row r="8" spans="1:6" ht="25.05" customHeight="1">
      <c r="A8" s="16" t="s">
        <v>8</v>
      </c>
      <c r="B8" s="17" t="s">
        <v>9</v>
      </c>
      <c r="C8" s="14"/>
      <c r="D8" s="14"/>
      <c r="E8" s="14"/>
      <c r="F8" s="15"/>
    </row>
    <row r="9" spans="1:6">
      <c r="A9" s="1"/>
      <c r="B9" s="1"/>
      <c r="C9" s="1"/>
      <c r="D9" s="1"/>
      <c r="E9" s="1"/>
      <c r="F9" s="1"/>
    </row>
    <row r="10" spans="1:6" ht="22.05" customHeight="1">
      <c r="A10" s="18" t="s">
        <v>10</v>
      </c>
      <c r="B10" s="19" t="s">
        <v>11</v>
      </c>
      <c r="C10" s="18"/>
      <c r="D10" s="18"/>
      <c r="E10" s="18"/>
      <c r="F10" s="18"/>
    </row>
    <row r="11" spans="1:6" ht="30" customHeight="1">
      <c r="A11" s="20" t="s">
        <v>12</v>
      </c>
      <c r="B11" s="21" t="s">
        <v>13</v>
      </c>
      <c r="C11" s="21" t="s">
        <v>14</v>
      </c>
      <c r="D11" s="21" t="s">
        <v>15</v>
      </c>
      <c r="E11" s="21" t="s">
        <v>16</v>
      </c>
      <c r="F11" s="22" t="s">
        <v>17</v>
      </c>
    </row>
    <row r="12" spans="1:6" ht="37.950000000000003" customHeight="1">
      <c r="A12" s="27" t="s">
        <v>18</v>
      </c>
      <c r="B12" s="28" t="s">
        <v>19</v>
      </c>
      <c r="C12" s="29">
        <v>0.1</v>
      </c>
      <c r="D12" s="27" t="s">
        <v>20</v>
      </c>
      <c r="E12" s="30">
        <f>ROUND(SUM(E13:E16),2)</f>
        <v>7.5</v>
      </c>
      <c r="F12" s="28" t="s">
        <v>21</v>
      </c>
    </row>
    <row r="13" spans="1:6" ht="27" customHeight="1">
      <c r="A13" s="24">
        <v>1</v>
      </c>
      <c r="B13" s="23" t="s">
        <v>22</v>
      </c>
      <c r="C13" s="25">
        <v>2.5000000000000001E-2</v>
      </c>
      <c r="D13" s="31" t="s">
        <v>89</v>
      </c>
      <c r="E13" s="26">
        <f>IF(D13="☑ Sí",C13*100,0)</f>
        <v>2.5</v>
      </c>
      <c r="F13" s="32"/>
    </row>
    <row r="14" spans="1:6" ht="27" customHeight="1">
      <c r="A14" s="24">
        <v>2</v>
      </c>
      <c r="B14" s="23" t="s">
        <v>24</v>
      </c>
      <c r="C14" s="25">
        <v>2.5000000000000001E-2</v>
      </c>
      <c r="D14" s="31" t="s">
        <v>89</v>
      </c>
      <c r="E14" s="26">
        <f>IF(D14="☑ Sí",C14*100,0)</f>
        <v>2.5</v>
      </c>
      <c r="F14" s="32"/>
    </row>
    <row r="15" spans="1:6" ht="27" customHeight="1">
      <c r="A15" s="24">
        <v>3</v>
      </c>
      <c r="B15" s="23" t="s">
        <v>25</v>
      </c>
      <c r="C15" s="25">
        <v>2.5000000000000001E-2</v>
      </c>
      <c r="D15" s="31" t="s">
        <v>89</v>
      </c>
      <c r="E15" s="26">
        <f>IF(D15="☑ Sí",C15*100,0)</f>
        <v>2.5</v>
      </c>
      <c r="F15" s="32"/>
    </row>
    <row r="16" spans="1:6" ht="27" customHeight="1">
      <c r="A16" s="24">
        <v>4</v>
      </c>
      <c r="B16" s="23" t="s">
        <v>26</v>
      </c>
      <c r="C16" s="25">
        <v>2.5000000000000001E-2</v>
      </c>
      <c r="D16" s="31" t="s">
        <v>23</v>
      </c>
      <c r="E16" s="26">
        <f>IF(D16="☑ Sí",C16*100,0)</f>
        <v>0</v>
      </c>
      <c r="F16" s="32"/>
    </row>
    <row r="17" spans="1:6" ht="37.950000000000003" customHeight="1">
      <c r="A17" s="27" t="s">
        <v>27</v>
      </c>
      <c r="B17" s="28" t="s">
        <v>28</v>
      </c>
      <c r="C17" s="29">
        <v>0.1</v>
      </c>
      <c r="D17" s="27" t="s">
        <v>29</v>
      </c>
      <c r="E17" s="30">
        <f>ROUND(SUM(E18:E25),2)</f>
        <v>8.75</v>
      </c>
      <c r="F17" s="28" t="s">
        <v>21</v>
      </c>
    </row>
    <row r="18" spans="1:6" ht="27" customHeight="1">
      <c r="A18" s="24">
        <v>5</v>
      </c>
      <c r="B18" s="23" t="s">
        <v>30</v>
      </c>
      <c r="C18" s="25">
        <v>1.2500000000000001E-2</v>
      </c>
      <c r="D18" s="31" t="s">
        <v>89</v>
      </c>
      <c r="E18" s="26">
        <f t="shared" ref="E18:E25" si="0">IF(D18="☑ Sí",C18*100,0)</f>
        <v>1.25</v>
      </c>
      <c r="F18" s="32"/>
    </row>
    <row r="19" spans="1:6" ht="27" customHeight="1">
      <c r="A19" s="24">
        <v>6</v>
      </c>
      <c r="B19" s="23" t="s">
        <v>31</v>
      </c>
      <c r="C19" s="25">
        <v>1.2500000000000001E-2</v>
      </c>
      <c r="D19" s="31" t="s">
        <v>89</v>
      </c>
      <c r="E19" s="26">
        <f t="shared" si="0"/>
        <v>1.25</v>
      </c>
      <c r="F19" s="32"/>
    </row>
    <row r="20" spans="1:6" ht="27" customHeight="1">
      <c r="A20" s="24">
        <v>7</v>
      </c>
      <c r="B20" s="23" t="s">
        <v>32</v>
      </c>
      <c r="C20" s="25">
        <v>1.2500000000000001E-2</v>
      </c>
      <c r="D20" s="31" t="s">
        <v>89</v>
      </c>
      <c r="E20" s="26">
        <f t="shared" si="0"/>
        <v>1.25</v>
      </c>
      <c r="F20" s="32"/>
    </row>
    <row r="21" spans="1:6" ht="27" customHeight="1">
      <c r="A21" s="24">
        <v>8</v>
      </c>
      <c r="B21" s="23" t="s">
        <v>33</v>
      </c>
      <c r="C21" s="25">
        <v>1.2500000000000001E-2</v>
      </c>
      <c r="D21" s="31" t="s">
        <v>89</v>
      </c>
      <c r="E21" s="26">
        <f t="shared" si="0"/>
        <v>1.25</v>
      </c>
      <c r="F21" s="32"/>
    </row>
    <row r="22" spans="1:6" ht="27" customHeight="1">
      <c r="A22" s="24">
        <v>9</v>
      </c>
      <c r="B22" s="23" t="s">
        <v>34</v>
      </c>
      <c r="C22" s="25">
        <v>1.2500000000000001E-2</v>
      </c>
      <c r="D22" s="31" t="s">
        <v>89</v>
      </c>
      <c r="E22" s="26">
        <f t="shared" si="0"/>
        <v>1.25</v>
      </c>
      <c r="F22" s="32"/>
    </row>
    <row r="23" spans="1:6" ht="27" customHeight="1">
      <c r="A23" s="24">
        <v>10</v>
      </c>
      <c r="B23" s="23" t="s">
        <v>35</v>
      </c>
      <c r="C23" s="25">
        <v>1.2500000000000001E-2</v>
      </c>
      <c r="D23" s="31" t="s">
        <v>89</v>
      </c>
      <c r="E23" s="26">
        <f t="shared" si="0"/>
        <v>1.25</v>
      </c>
      <c r="F23" s="32"/>
    </row>
    <row r="24" spans="1:6" ht="27" customHeight="1">
      <c r="A24" s="24">
        <v>11</v>
      </c>
      <c r="B24" s="23" t="s">
        <v>36</v>
      </c>
      <c r="C24" s="25">
        <v>1.2500000000000001E-2</v>
      </c>
      <c r="D24" s="31" t="s">
        <v>23</v>
      </c>
      <c r="E24" s="26">
        <f t="shared" si="0"/>
        <v>0</v>
      </c>
      <c r="F24" s="32"/>
    </row>
    <row r="25" spans="1:6" ht="27" customHeight="1">
      <c r="A25" s="24">
        <v>12</v>
      </c>
      <c r="B25" s="23" t="s">
        <v>37</v>
      </c>
      <c r="C25" s="25">
        <v>1.2500000000000001E-2</v>
      </c>
      <c r="D25" s="31" t="s">
        <v>89</v>
      </c>
      <c r="E25" s="26">
        <f t="shared" si="0"/>
        <v>1.25</v>
      </c>
      <c r="F25" s="32"/>
    </row>
    <row r="26" spans="1:6" ht="37.950000000000003" customHeight="1">
      <c r="A26" s="27" t="s">
        <v>38</v>
      </c>
      <c r="B26" s="28" t="s">
        <v>39</v>
      </c>
      <c r="C26" s="29">
        <v>0.1</v>
      </c>
      <c r="D26" s="27" t="s">
        <v>40</v>
      </c>
      <c r="E26" s="30">
        <f>ROUND(SUM(E27:E35),2)</f>
        <v>8.89</v>
      </c>
      <c r="F26" s="28" t="s">
        <v>21</v>
      </c>
    </row>
    <row r="27" spans="1:6" ht="27" customHeight="1">
      <c r="A27" s="24">
        <v>13</v>
      </c>
      <c r="B27" s="23" t="s">
        <v>41</v>
      </c>
      <c r="C27" s="25">
        <v>1.1111111111111112E-2</v>
      </c>
      <c r="D27" s="31" t="s">
        <v>89</v>
      </c>
      <c r="E27" s="26">
        <f t="shared" ref="E27:E35" si="1">IF(D27="☑ Sí",C27*100,0)</f>
        <v>1.1111111111111112</v>
      </c>
      <c r="F27" s="32"/>
    </row>
    <row r="28" spans="1:6" ht="27" customHeight="1">
      <c r="A28" s="24">
        <v>14</v>
      </c>
      <c r="B28" s="23" t="s">
        <v>42</v>
      </c>
      <c r="C28" s="25">
        <v>1.1111111111111112E-2</v>
      </c>
      <c r="D28" s="31" t="s">
        <v>89</v>
      </c>
      <c r="E28" s="26">
        <f t="shared" si="1"/>
        <v>1.1111111111111112</v>
      </c>
      <c r="F28" s="32"/>
    </row>
    <row r="29" spans="1:6" ht="27" customHeight="1">
      <c r="A29" s="24">
        <v>15</v>
      </c>
      <c r="B29" s="23" t="s">
        <v>43</v>
      </c>
      <c r="C29" s="25">
        <v>1.1111111111111112E-2</v>
      </c>
      <c r="D29" s="31" t="s">
        <v>89</v>
      </c>
      <c r="E29" s="26">
        <f t="shared" si="1"/>
        <v>1.1111111111111112</v>
      </c>
      <c r="F29" s="32"/>
    </row>
    <row r="30" spans="1:6" ht="27" customHeight="1">
      <c r="A30" s="24">
        <v>16</v>
      </c>
      <c r="B30" s="23" t="s">
        <v>44</v>
      </c>
      <c r="C30" s="25">
        <v>1.1111111111111112E-2</v>
      </c>
      <c r="D30" s="31" t="s">
        <v>89</v>
      </c>
      <c r="E30" s="26">
        <f t="shared" si="1"/>
        <v>1.1111111111111112</v>
      </c>
      <c r="F30" s="32"/>
    </row>
    <row r="31" spans="1:6" ht="27" customHeight="1">
      <c r="A31" s="24">
        <v>17</v>
      </c>
      <c r="B31" s="23" t="s">
        <v>45</v>
      </c>
      <c r="C31" s="25">
        <v>1.1111111111111112E-2</v>
      </c>
      <c r="D31" s="31" t="s">
        <v>89</v>
      </c>
      <c r="E31" s="26">
        <f t="shared" si="1"/>
        <v>1.1111111111111112</v>
      </c>
      <c r="F31" s="32"/>
    </row>
    <row r="32" spans="1:6" ht="36" customHeight="1">
      <c r="A32" s="24">
        <v>18</v>
      </c>
      <c r="B32" s="23" t="s">
        <v>46</v>
      </c>
      <c r="C32" s="25">
        <v>1.1111111111111112E-2</v>
      </c>
      <c r="D32" s="31" t="s">
        <v>89</v>
      </c>
      <c r="E32" s="26">
        <f t="shared" si="1"/>
        <v>1.1111111111111112</v>
      </c>
      <c r="F32" s="32"/>
    </row>
    <row r="33" spans="1:6" ht="27" customHeight="1">
      <c r="A33" s="24">
        <v>19</v>
      </c>
      <c r="B33" s="23" t="s">
        <v>47</v>
      </c>
      <c r="C33" s="25">
        <v>1.1111111111111112E-2</v>
      </c>
      <c r="D33" s="31" t="s">
        <v>23</v>
      </c>
      <c r="E33" s="26">
        <f t="shared" si="1"/>
        <v>0</v>
      </c>
      <c r="F33" s="32"/>
    </row>
    <row r="34" spans="1:6" ht="27" customHeight="1">
      <c r="A34" s="24">
        <v>20</v>
      </c>
      <c r="B34" s="23" t="s">
        <v>48</v>
      </c>
      <c r="C34" s="25">
        <v>1.1111111111111112E-2</v>
      </c>
      <c r="D34" s="31" t="s">
        <v>89</v>
      </c>
      <c r="E34" s="26">
        <f t="shared" si="1"/>
        <v>1.1111111111111112</v>
      </c>
      <c r="F34" s="32"/>
    </row>
    <row r="35" spans="1:6" ht="36" customHeight="1">
      <c r="A35" s="24">
        <v>21</v>
      </c>
      <c r="B35" s="23" t="s">
        <v>49</v>
      </c>
      <c r="C35" s="25">
        <v>1.1111111111111112E-2</v>
      </c>
      <c r="D35" s="31" t="s">
        <v>89</v>
      </c>
      <c r="E35" s="26">
        <f t="shared" si="1"/>
        <v>1.1111111111111112</v>
      </c>
      <c r="F35" s="32"/>
    </row>
    <row r="36" spans="1:6" ht="37.950000000000003" customHeight="1">
      <c r="A36" s="27" t="s">
        <v>50</v>
      </c>
      <c r="B36" s="28" t="s">
        <v>51</v>
      </c>
      <c r="C36" s="29">
        <v>0.2</v>
      </c>
      <c r="D36" s="27" t="s">
        <v>52</v>
      </c>
      <c r="E36" s="30">
        <f>ROUND(SUM(E37:E43),2)</f>
        <v>14.29</v>
      </c>
      <c r="F36" s="28" t="s">
        <v>21</v>
      </c>
    </row>
    <row r="37" spans="1:6" ht="27" customHeight="1">
      <c r="A37" s="24">
        <v>22</v>
      </c>
      <c r="B37" s="23" t="s">
        <v>53</v>
      </c>
      <c r="C37" s="25">
        <v>2.8571428571428574E-2</v>
      </c>
      <c r="D37" s="31" t="s">
        <v>23</v>
      </c>
      <c r="E37" s="26">
        <f t="shared" ref="E37:E43" si="2">IF(D37="☑ Sí",C37*100,0)</f>
        <v>0</v>
      </c>
      <c r="F37" s="32"/>
    </row>
    <row r="38" spans="1:6" ht="27" customHeight="1">
      <c r="A38" s="24">
        <v>23</v>
      </c>
      <c r="B38" s="23" t="s">
        <v>54</v>
      </c>
      <c r="C38" s="25">
        <v>2.8571428571428574E-2</v>
      </c>
      <c r="D38" s="31" t="s">
        <v>89</v>
      </c>
      <c r="E38" s="26">
        <f t="shared" si="2"/>
        <v>2.8571428571428572</v>
      </c>
      <c r="F38" s="32"/>
    </row>
    <row r="39" spans="1:6" ht="36" customHeight="1">
      <c r="A39" s="24">
        <v>24</v>
      </c>
      <c r="B39" s="23" t="s">
        <v>55</v>
      </c>
      <c r="C39" s="25">
        <v>2.8571428571428574E-2</v>
      </c>
      <c r="D39" s="31" t="s">
        <v>23</v>
      </c>
      <c r="E39" s="26">
        <f t="shared" si="2"/>
        <v>0</v>
      </c>
      <c r="F39" s="32"/>
    </row>
    <row r="40" spans="1:6" ht="36" customHeight="1">
      <c r="A40" s="24">
        <v>25</v>
      </c>
      <c r="B40" s="23" t="s">
        <v>56</v>
      </c>
      <c r="C40" s="25">
        <v>2.8571428571428574E-2</v>
      </c>
      <c r="D40" s="31" t="s">
        <v>89</v>
      </c>
      <c r="E40" s="26">
        <f t="shared" si="2"/>
        <v>2.8571428571428572</v>
      </c>
      <c r="F40" s="32"/>
    </row>
    <row r="41" spans="1:6" ht="36" customHeight="1">
      <c r="A41" s="24">
        <v>26</v>
      </c>
      <c r="B41" s="23" t="s">
        <v>57</v>
      </c>
      <c r="C41" s="25">
        <v>2.8571428571428574E-2</v>
      </c>
      <c r="D41" s="31" t="s">
        <v>89</v>
      </c>
      <c r="E41" s="26">
        <f t="shared" si="2"/>
        <v>2.8571428571428572</v>
      </c>
      <c r="F41" s="32"/>
    </row>
    <row r="42" spans="1:6" ht="27" customHeight="1">
      <c r="A42" s="24">
        <v>27</v>
      </c>
      <c r="B42" s="23" t="s">
        <v>58</v>
      </c>
      <c r="C42" s="25">
        <v>2.8571428571428574E-2</v>
      </c>
      <c r="D42" s="31" t="s">
        <v>89</v>
      </c>
      <c r="E42" s="26">
        <f t="shared" si="2"/>
        <v>2.8571428571428572</v>
      </c>
      <c r="F42" s="32"/>
    </row>
    <row r="43" spans="1:6" ht="27" customHeight="1">
      <c r="A43" s="24">
        <v>28</v>
      </c>
      <c r="B43" s="23" t="s">
        <v>59</v>
      </c>
      <c r="C43" s="25">
        <v>2.8571428571428574E-2</v>
      </c>
      <c r="D43" s="31" t="s">
        <v>89</v>
      </c>
      <c r="E43" s="26">
        <f t="shared" si="2"/>
        <v>2.8571428571428572</v>
      </c>
      <c r="F43" s="32"/>
    </row>
    <row r="44" spans="1:6" ht="37.950000000000003" customHeight="1">
      <c r="A44" s="27" t="s">
        <v>60</v>
      </c>
      <c r="B44" s="28" t="s">
        <v>61</v>
      </c>
      <c r="C44" s="29">
        <v>0.2</v>
      </c>
      <c r="D44" s="27" t="s">
        <v>29</v>
      </c>
      <c r="E44" s="30">
        <f>ROUND(SUM(E45:E52),2)</f>
        <v>17.5</v>
      </c>
      <c r="F44" s="28" t="s">
        <v>21</v>
      </c>
    </row>
    <row r="45" spans="1:6" ht="36" customHeight="1">
      <c r="A45" s="24">
        <v>29</v>
      </c>
      <c r="B45" s="23" t="s">
        <v>62</v>
      </c>
      <c r="C45" s="25">
        <v>2.5000000000000001E-2</v>
      </c>
      <c r="D45" s="31" t="s">
        <v>89</v>
      </c>
      <c r="E45" s="26">
        <f t="shared" ref="E45:E52" si="3">IF(D45="☑ Sí",C45*100,0)</f>
        <v>2.5</v>
      </c>
      <c r="F45" s="32"/>
    </row>
    <row r="46" spans="1:6" ht="27" customHeight="1">
      <c r="A46" s="24">
        <v>30</v>
      </c>
      <c r="B46" s="23" t="s">
        <v>63</v>
      </c>
      <c r="C46" s="25">
        <v>2.5000000000000001E-2</v>
      </c>
      <c r="D46" s="31" t="s">
        <v>89</v>
      </c>
      <c r="E46" s="26">
        <f t="shared" si="3"/>
        <v>2.5</v>
      </c>
      <c r="F46" s="32"/>
    </row>
    <row r="47" spans="1:6" ht="27" customHeight="1">
      <c r="A47" s="24">
        <v>31</v>
      </c>
      <c r="B47" s="23" t="s">
        <v>64</v>
      </c>
      <c r="C47" s="25">
        <v>2.5000000000000001E-2</v>
      </c>
      <c r="D47" s="31" t="s">
        <v>89</v>
      </c>
      <c r="E47" s="26">
        <f t="shared" si="3"/>
        <v>2.5</v>
      </c>
      <c r="F47" s="32"/>
    </row>
    <row r="48" spans="1:6" ht="36" customHeight="1">
      <c r="A48" s="24">
        <v>32</v>
      </c>
      <c r="B48" s="23" t="s">
        <v>65</v>
      </c>
      <c r="C48" s="25">
        <v>2.5000000000000001E-2</v>
      </c>
      <c r="D48" s="31" t="s">
        <v>89</v>
      </c>
      <c r="E48" s="26">
        <f t="shared" si="3"/>
        <v>2.5</v>
      </c>
      <c r="F48" s="32"/>
    </row>
    <row r="49" spans="1:6" ht="36" customHeight="1">
      <c r="A49" s="24">
        <v>33</v>
      </c>
      <c r="B49" s="23" t="s">
        <v>66</v>
      </c>
      <c r="C49" s="25">
        <v>2.5000000000000001E-2</v>
      </c>
      <c r="D49" s="31" t="s">
        <v>89</v>
      </c>
      <c r="E49" s="26">
        <f t="shared" si="3"/>
        <v>2.5</v>
      </c>
      <c r="F49" s="32"/>
    </row>
    <row r="50" spans="1:6" ht="36" customHeight="1">
      <c r="A50" s="24">
        <v>34</v>
      </c>
      <c r="B50" s="23" t="s">
        <v>67</v>
      </c>
      <c r="C50" s="25">
        <v>2.5000000000000001E-2</v>
      </c>
      <c r="D50" s="31" t="s">
        <v>89</v>
      </c>
      <c r="E50" s="26">
        <f t="shared" si="3"/>
        <v>2.5</v>
      </c>
      <c r="F50" s="32"/>
    </row>
    <row r="51" spans="1:6" ht="27" customHeight="1">
      <c r="A51" s="24">
        <v>35</v>
      </c>
      <c r="B51" s="23" t="s">
        <v>68</v>
      </c>
      <c r="C51" s="25">
        <v>2.5000000000000001E-2</v>
      </c>
      <c r="D51" s="31" t="s">
        <v>89</v>
      </c>
      <c r="E51" s="26">
        <f t="shared" si="3"/>
        <v>2.5</v>
      </c>
      <c r="F51" s="32"/>
    </row>
    <row r="52" spans="1:6" ht="27" customHeight="1">
      <c r="A52" s="24">
        <v>36</v>
      </c>
      <c r="B52" s="23" t="s">
        <v>69</v>
      </c>
      <c r="C52" s="25">
        <v>2.5000000000000001E-2</v>
      </c>
      <c r="D52" s="31" t="s">
        <v>23</v>
      </c>
      <c r="E52" s="26">
        <f t="shared" si="3"/>
        <v>0</v>
      </c>
      <c r="F52" s="32"/>
    </row>
    <row r="53" spans="1:6" ht="37.950000000000003" customHeight="1">
      <c r="A53" s="27" t="s">
        <v>70</v>
      </c>
      <c r="B53" s="28" t="s">
        <v>71</v>
      </c>
      <c r="C53" s="29">
        <v>0.3</v>
      </c>
      <c r="D53" s="27" t="s">
        <v>40</v>
      </c>
      <c r="E53" s="30">
        <f>ROUND(SUM(E54:E62),2)</f>
        <v>23.33</v>
      </c>
      <c r="F53" s="28" t="s">
        <v>21</v>
      </c>
    </row>
    <row r="54" spans="1:6" ht="27" customHeight="1">
      <c r="A54" s="24">
        <v>37</v>
      </c>
      <c r="B54" s="23" t="s">
        <v>72</v>
      </c>
      <c r="C54" s="25">
        <v>3.3333333333333333E-2</v>
      </c>
      <c r="D54" s="31" t="s">
        <v>89</v>
      </c>
      <c r="E54" s="26">
        <f t="shared" ref="E54:E62" si="4">IF(D54="☑ Sí",C54*100,0)</f>
        <v>3.3333333333333335</v>
      </c>
      <c r="F54" s="32"/>
    </row>
    <row r="55" spans="1:6" ht="27" customHeight="1">
      <c r="A55" s="24">
        <v>38</v>
      </c>
      <c r="B55" s="23" t="s">
        <v>73</v>
      </c>
      <c r="C55" s="25">
        <v>3.3333333333333333E-2</v>
      </c>
      <c r="D55" s="31" t="s">
        <v>89</v>
      </c>
      <c r="E55" s="26">
        <f t="shared" si="4"/>
        <v>3.3333333333333335</v>
      </c>
      <c r="F55" s="32"/>
    </row>
    <row r="56" spans="1:6" ht="36" customHeight="1">
      <c r="A56" s="24">
        <v>39</v>
      </c>
      <c r="B56" s="23" t="s">
        <v>74</v>
      </c>
      <c r="C56" s="25">
        <v>3.3333333333333333E-2</v>
      </c>
      <c r="D56" s="31" t="s">
        <v>89</v>
      </c>
      <c r="E56" s="26">
        <f t="shared" si="4"/>
        <v>3.3333333333333335</v>
      </c>
      <c r="F56" s="32"/>
    </row>
    <row r="57" spans="1:6" ht="27" customHeight="1">
      <c r="A57" s="24">
        <v>40</v>
      </c>
      <c r="B57" s="23" t="s">
        <v>63</v>
      </c>
      <c r="C57" s="25">
        <v>3.3333333333333333E-2</v>
      </c>
      <c r="D57" s="31" t="s">
        <v>89</v>
      </c>
      <c r="E57" s="26">
        <f t="shared" si="4"/>
        <v>3.3333333333333335</v>
      </c>
      <c r="F57" s="32"/>
    </row>
    <row r="58" spans="1:6" ht="27" customHeight="1">
      <c r="A58" s="24">
        <v>41</v>
      </c>
      <c r="B58" s="23" t="s">
        <v>75</v>
      </c>
      <c r="C58" s="25">
        <v>3.3333333333333333E-2</v>
      </c>
      <c r="D58" s="31" t="s">
        <v>23</v>
      </c>
      <c r="E58" s="26">
        <f t="shared" si="4"/>
        <v>0</v>
      </c>
      <c r="F58" s="32"/>
    </row>
    <row r="59" spans="1:6" ht="27" customHeight="1">
      <c r="A59" s="24">
        <v>42</v>
      </c>
      <c r="B59" s="23" t="s">
        <v>76</v>
      </c>
      <c r="C59" s="25">
        <v>3.3333333333333333E-2</v>
      </c>
      <c r="D59" s="31" t="s">
        <v>89</v>
      </c>
      <c r="E59" s="26">
        <f t="shared" si="4"/>
        <v>3.3333333333333335</v>
      </c>
      <c r="F59" s="32"/>
    </row>
    <row r="60" spans="1:6" ht="27" customHeight="1">
      <c r="A60" s="24">
        <v>43</v>
      </c>
      <c r="B60" s="23" t="s">
        <v>77</v>
      </c>
      <c r="C60" s="25">
        <v>3.3333333333333333E-2</v>
      </c>
      <c r="D60" s="31" t="s">
        <v>23</v>
      </c>
      <c r="E60" s="26">
        <f t="shared" si="4"/>
        <v>0</v>
      </c>
      <c r="F60" s="32"/>
    </row>
    <row r="61" spans="1:6" ht="27" customHeight="1">
      <c r="A61" s="24">
        <v>44</v>
      </c>
      <c r="B61" s="23" t="s">
        <v>78</v>
      </c>
      <c r="C61" s="25">
        <v>3.3333333333333333E-2</v>
      </c>
      <c r="D61" s="31" t="s">
        <v>89</v>
      </c>
      <c r="E61" s="26">
        <f t="shared" si="4"/>
        <v>3.3333333333333335</v>
      </c>
      <c r="F61" s="32"/>
    </row>
    <row r="62" spans="1:6" ht="27" customHeight="1">
      <c r="A62" s="24">
        <v>45</v>
      </c>
      <c r="B62" s="23" t="s">
        <v>79</v>
      </c>
      <c r="C62" s="25">
        <v>3.3333333333333333E-2</v>
      </c>
      <c r="D62" s="31" t="s">
        <v>89</v>
      </c>
      <c r="E62" s="26">
        <f t="shared" si="4"/>
        <v>3.3333333333333335</v>
      </c>
      <c r="F62" s="32"/>
    </row>
    <row r="63" spans="1:6" ht="30" customHeight="1">
      <c r="A63" s="33" t="s">
        <v>80</v>
      </c>
      <c r="B63" s="34" t="s">
        <v>81</v>
      </c>
      <c r="C63" s="36">
        <v>1</v>
      </c>
      <c r="D63" s="34" t="s">
        <v>82</v>
      </c>
      <c r="E63" s="37">
        <f>B7</f>
        <v>80.260000000000005</v>
      </c>
      <c r="F63" s="35" t="s">
        <v>83</v>
      </c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 ht="157.80000000000001" customHeight="1">
      <c r="A66" s="38" t="s">
        <v>84</v>
      </c>
      <c r="B66" s="39" t="s">
        <v>85</v>
      </c>
      <c r="C66" s="39"/>
      <c r="D66" s="39"/>
      <c r="E66" s="40"/>
      <c r="F66" s="41" t="s">
        <v>90</v>
      </c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42" t="s">
        <v>86</v>
      </c>
      <c r="B69" s="43" t="s">
        <v>87</v>
      </c>
      <c r="C69" s="42"/>
      <c r="D69" s="42"/>
      <c r="E69" s="42"/>
      <c r="F69" s="42"/>
    </row>
  </sheetData>
  <conditionalFormatting sqref="B12:E62">
    <cfRule type="expression" dxfId="0" priority="1">
      <formula>$D12="☑ Sí"</formula>
    </cfRule>
  </conditionalFormatting>
  <dataValidations count="1">
    <dataValidation type="list" sqref="D54:D62 D45:D52 D37:D43 D27:D35 D18:D25 D13:D16" xr:uid="{00000000-0002-0000-0000-000000000000}">
      <formula1>"☐ No,☑ Sí"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</cp:lastModifiedBy>
  <dcterms:modified xsi:type="dcterms:W3CDTF">2026-09-10T12:58:04Z</dcterms:modified>
</cp:coreProperties>
</file>